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SGD-Orfeo-Contenedor-master\sgd-orfeo-contenedor\src\orfeo\tasaCredito\"/>
    </mc:Choice>
  </mc:AlternateContent>
  <xr:revisionPtr revIDLastSave="0" documentId="13_ncr:1_{72C22989-AED7-4F32-86E5-A14DD3924B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Hoja1!$A$1:$AM$4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5" i="1" l="1"/>
  <c r="BH5" i="1"/>
  <c r="BC5" i="1"/>
  <c r="AX5" i="1"/>
  <c r="AS5" i="1"/>
  <c r="L4" i="1"/>
  <c r="BO4" i="1"/>
  <c r="BN4" i="1"/>
  <c r="BC4" i="1"/>
  <c r="AX4" i="1"/>
  <c r="AS2" i="1"/>
  <c r="AS3" i="1"/>
  <c r="AS4" i="1"/>
  <c r="L3" i="1"/>
  <c r="BP3" i="1"/>
  <c r="L2" i="1"/>
  <c r="BP2" i="1"/>
  <c r="BP4" i="1" l="1"/>
</calcChain>
</file>

<file path=xl/sharedStrings.xml><?xml version="1.0" encoding="utf-8"?>
<sst xmlns="http://schemas.openxmlformats.org/spreadsheetml/2006/main" count="154" uniqueCount="115">
  <si>
    <t>NIT</t>
  </si>
  <si>
    <t>SANTA MARTA</t>
  </si>
  <si>
    <t>BARRANQUILLA</t>
  </si>
  <si>
    <t>TASA</t>
  </si>
  <si>
    <t>Si</t>
  </si>
  <si>
    <t>Resolución</t>
  </si>
  <si>
    <t>Tasa 0,2 %</t>
  </si>
  <si>
    <t>PINILLOS</t>
  </si>
  <si>
    <t>13549</t>
  </si>
  <si>
    <t>18/03/2015</t>
  </si>
  <si>
    <t>10/03/2015</t>
  </si>
  <si>
    <t>18/09/2017</t>
  </si>
  <si>
    <t>8/04/2020</t>
  </si>
  <si>
    <t>CENTRO ODONTOLOGICO ORAL STETIC E.U</t>
  </si>
  <si>
    <t>OPTICA SOLYVISION LIMITADA</t>
  </si>
  <si>
    <t xml:space="preserve">SANCIÓN </t>
  </si>
  <si>
    <t>2-2018-092955</t>
  </si>
  <si>
    <t>2-2018-092956</t>
  </si>
  <si>
    <t>ART 635 ETN</t>
  </si>
  <si>
    <t>madecarmefer@hotmail.com</t>
  </si>
  <si>
    <t>CL 23 14 17 CA 203</t>
  </si>
  <si>
    <t xml:space="preserve">6% ANUAL </t>
  </si>
  <si>
    <t>omaruparela@hotmail.com</t>
  </si>
  <si>
    <t>CRA 44 # 41-55</t>
  </si>
  <si>
    <t>8001</t>
  </si>
  <si>
    <t>SI</t>
  </si>
  <si>
    <t>MUNICIPIO DE CHITA - BOYACA</t>
  </si>
  <si>
    <t>2-2020-41360</t>
  </si>
  <si>
    <t>notificacionjudicial@chita-boyaca.gov.co</t>
  </si>
  <si>
    <t>4 N° 4 - 43 Palacio municipal</t>
  </si>
  <si>
    <t>CHITA</t>
  </si>
  <si>
    <t>5/12/2013</t>
  </si>
  <si>
    <t>20/12/2011</t>
  </si>
  <si>
    <t>15/03/2019</t>
  </si>
  <si>
    <t>27/07/2015</t>
  </si>
  <si>
    <t>22/10/2018</t>
  </si>
  <si>
    <t>12/06/2024</t>
  </si>
  <si>
    <t>21/12/2013</t>
  </si>
  <si>
    <t>28/12/2011</t>
  </si>
  <si>
    <t>MUNICIPIO PINILLOS -BOLIVAR</t>
  </si>
  <si>
    <t>2-2019-47988</t>
  </si>
  <si>
    <t>20/12/2020</t>
  </si>
  <si>
    <t>26/03/2015</t>
  </si>
  <si>
    <t>16/12/2019</t>
  </si>
  <si>
    <t>17/03/2015</t>
  </si>
  <si>
    <t> alcaldia@pinillos-bolivar.gov.co</t>
  </si>
  <si>
    <t>Carrera 4° # 10 - 60. Palacio Municipal</t>
  </si>
  <si>
    <t>No Radicado 0</t>
  </si>
  <si>
    <t>Error 1</t>
  </si>
  <si>
    <t>VIGENCIA 2</t>
  </si>
  <si>
    <t>NIT 3</t>
  </si>
  <si>
    <t>RAZON SOCIAL 4</t>
  </si>
  <si>
    <t>DIRECCIÓN 5</t>
  </si>
  <si>
    <t>CORREO 6</t>
  </si>
  <si>
    <t>TELEFONO 7</t>
  </si>
  <si>
    <t>IdTrMunicipio 8</t>
  </si>
  <si>
    <t>MUNICIPIO 9</t>
  </si>
  <si>
    <t>NOTIFICACIÓN 10</t>
  </si>
  <si>
    <t>CORREO NOTIFI 11</t>
  </si>
  <si>
    <t>SUB CLASE 12</t>
  </si>
  <si>
    <t>OBLIGACION 13</t>
  </si>
  <si>
    <t>FECHA_D_FIRMEZA 14</t>
  </si>
  <si>
    <t>SALDO_K 15</t>
  </si>
  <si>
    <t>TIPO_OBLIGACION 16</t>
  </si>
  <si>
    <t>OBLIGACION 17</t>
  </si>
  <si>
    <t>FECHA_D_FIRMEZA 18</t>
  </si>
  <si>
    <t>SALDO_K 19</t>
  </si>
  <si>
    <t>TIPO_OBLIGACION 20</t>
  </si>
  <si>
    <t>OBLIGACION 21</t>
  </si>
  <si>
    <t>FECHA_D_FIRMEZA 22</t>
  </si>
  <si>
    <t>SALDO_K 23</t>
  </si>
  <si>
    <t>TIPO_OBLIGACION 24</t>
  </si>
  <si>
    <t>OBLIGACION 25</t>
  </si>
  <si>
    <t>FECHA_D_FIRMEZA 26</t>
  </si>
  <si>
    <t>SALDO_K 27</t>
  </si>
  <si>
    <t>TIPO_OBLIGACION 28</t>
  </si>
  <si>
    <t>OBLIGACION 29</t>
  </si>
  <si>
    <t>FECHA_D_FIRMEZA 30</t>
  </si>
  <si>
    <t>SALDO_K 31</t>
  </si>
  <si>
    <t>TIPO_OBLIGACION 32</t>
  </si>
  <si>
    <t>TIPO DOC 33</t>
  </si>
  <si>
    <t>EXPEDIENTE 34</t>
  </si>
  <si>
    <t>RES_OSA_NO 35</t>
  </si>
  <si>
    <t>FECHA_OSA_NO 36</t>
  </si>
  <si>
    <t>FECHA_ NOT_OSA 37</t>
  </si>
  <si>
    <t>RADICADO_NOT_OSA 38</t>
  </si>
  <si>
    <t>FECHA_LIQUIDACION 39</t>
  </si>
  <si>
    <t>TASA_APLICABLE1 40</t>
  </si>
  <si>
    <t>FECHA INICIO_ COBRO1 41</t>
  </si>
  <si>
    <t>VALOR_CAPITAL1  42</t>
  </si>
  <si>
    <t>VALOR_INTERES1 43</t>
  </si>
  <si>
    <t>TOTAL_LIQUIDADO1 44</t>
  </si>
  <si>
    <t>TASA_APLICABLE2 45</t>
  </si>
  <si>
    <t>FECHA INICIO_ COBRO2 46</t>
  </si>
  <si>
    <t>VALOR_CAPITAL2 47</t>
  </si>
  <si>
    <t>VALOR_INTERES2 48</t>
  </si>
  <si>
    <t>TOTAL_LIQUIDADO2 49</t>
  </si>
  <si>
    <t>TASA_APLICABLE3 50</t>
  </si>
  <si>
    <t>FECHA INICIO_ COBRO3 51</t>
  </si>
  <si>
    <t>VALOR_CAPITAL3 52</t>
  </si>
  <si>
    <t>VALOR_INTERES3 53</t>
  </si>
  <si>
    <t>TOTAL_LIQUIDADO3 54</t>
  </si>
  <si>
    <t>TASA_APLICABLE4 55</t>
  </si>
  <si>
    <t>FECHA INICIO_ COBRO4 56</t>
  </si>
  <si>
    <t>VALOR_CAPITAL4 57</t>
  </si>
  <si>
    <t>VALOR_INTERES4 58</t>
  </si>
  <si>
    <t>TOTAL_LIQUIDADO4 59</t>
  </si>
  <si>
    <t>TASA_APLICABLE5 60</t>
  </si>
  <si>
    <t>FECHA INICIO_ COBRO5 61</t>
  </si>
  <si>
    <t>VALOR_CAPITAL5 62</t>
  </si>
  <si>
    <t>VALOR_INTERES5 63</t>
  </si>
  <si>
    <t>TOTAL_LIQUIDADO5 64</t>
  </si>
  <si>
    <t>TOTAL_LIQUIDACIÓN_ CAPITAL 65</t>
  </si>
  <si>
    <t>TOTAL_LIQUIDACIÓN_ INTERESES 66</t>
  </si>
  <si>
    <t>TOTAL _CAPITAL MAS INTERESES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</si>
</sst>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\ * #,##0_-;\-&quot;$&quot;\ * #,##0_-;_-&quot;$&quot;\ * &quot;-&quot;_-;_-@_-"/>
    <numFmt numFmtId="165" formatCode="_(* #,##0.00_);_(* \(#,##0.00\);_(* &quot;-&quot;??_);_(@_)"/>
    <numFmt numFmtId="166" formatCode="_(* #.##0.00_);_(* \(#.##0.00\);_(* &quot;-&quot;??_);_(@_)"/>
  </numFmts>
  <fonts count="1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212529"/>
      <name val="Segoe U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2"/>
      <color rgb="FF212529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A5A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5" fontId="4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3" fillId="0" borderId="0"/>
    <xf numFmtId="0" fontId="13" fillId="0" borderId="0"/>
    <xf numFmtId="166" fontId="2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5" fillId="2" borderId="0" xfId="0" applyFont="1" applyFill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 readingOrder="1"/>
    </xf>
    <xf numFmtId="49" fontId="7" fillId="3" borderId="1" xfId="0" applyNumberFormat="1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/>
    <xf numFmtId="0" fontId="5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 applyProtection="1">
      <alignment horizontal="center"/>
      <protection locked="0"/>
    </xf>
    <xf numFmtId="0" fontId="9" fillId="0" borderId="1" xfId="0" applyFont="1" applyFill="1" applyBorder="1" applyAlignment="1" applyProtection="1">
      <alignment horizontal="left"/>
      <protection locked="0"/>
    </xf>
    <xf numFmtId="49" fontId="11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 applyProtection="1">
      <alignment horizontal="center"/>
      <protection locked="0"/>
    </xf>
    <xf numFmtId="0" fontId="8" fillId="0" borderId="1" xfId="0" applyFont="1" applyFill="1" applyBorder="1"/>
    <xf numFmtId="0" fontId="0" fillId="0" borderId="0" xfId="0" applyFill="1"/>
    <xf numFmtId="49" fontId="11" fillId="0" borderId="1" xfId="0" applyNumberFormat="1" applyFont="1" applyFill="1" applyBorder="1" applyAlignment="1" applyProtection="1">
      <alignment horizontal="center"/>
      <protection locked="0"/>
    </xf>
    <xf numFmtId="0" fontId="15" fillId="0" borderId="1" xfId="0" applyFont="1" applyFill="1" applyBorder="1" applyAlignment="1">
      <alignment horizontal="left" vertical="center"/>
    </xf>
    <xf numFmtId="0" fontId="0" fillId="0" borderId="1" xfId="0" applyFill="1" applyBorder="1"/>
    <xf numFmtId="14" fontId="16" fillId="0" borderId="1" xfId="0" applyNumberFormat="1" applyFont="1" applyFill="1" applyBorder="1"/>
    <xf numFmtId="49" fontId="6" fillId="2" borderId="1" xfId="0" applyNumberFormat="1" applyFont="1" applyFill="1" applyBorder="1" applyAlignment="1">
      <alignment horizontal="center" vertical="center" readingOrder="1"/>
    </xf>
    <xf numFmtId="49" fontId="6" fillId="0" borderId="1" xfId="0" applyNumberFormat="1" applyFont="1" applyBorder="1" applyAlignment="1">
      <alignment horizontal="center" vertical="center" wrapText="1" readingOrder="1"/>
    </xf>
    <xf numFmtId="49" fontId="6" fillId="2" borderId="1" xfId="0" applyNumberFormat="1" applyFont="1" applyFill="1" applyBorder="1" applyAlignment="1">
      <alignment horizontal="left" vertical="center" wrapText="1" readingOrder="1"/>
    </xf>
    <xf numFmtId="49" fontId="9" fillId="0" borderId="1" xfId="0" applyNumberFormat="1" applyFont="1" applyFill="1" applyBorder="1" applyAlignment="1" applyProtection="1">
      <alignment horizontal="center"/>
      <protection locked="0"/>
    </xf>
    <xf numFmtId="49" fontId="9" fillId="0" borderId="1" xfId="0" applyNumberFormat="1" applyFont="1" applyFill="1" applyBorder="1" applyAlignment="1" applyProtection="1">
      <alignment horizontal="left"/>
      <protection locked="0"/>
    </xf>
    <xf numFmtId="49" fontId="14" fillId="0" borderId="1" xfId="0" applyNumberFormat="1" applyFont="1" applyFill="1" applyBorder="1"/>
    <xf numFmtId="49" fontId="14" fillId="0" borderId="1" xfId="0" applyNumberFormat="1" applyFont="1" applyFill="1" applyBorder="1" applyAlignment="1">
      <alignment vertical="top" wrapText="1"/>
    </xf>
    <xf numFmtId="49" fontId="1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/>
    </xf>
    <xf numFmtId="49" fontId="5" fillId="0" borderId="0" xfId="0" applyNumberFormat="1" applyFont="1" applyAlignment="1">
      <alignment horizontal="left" vertical="center"/>
    </xf>
    <xf numFmtId="0" fontId="7" fillId="3" borderId="1" xfId="0" applyNumberFormat="1" applyFont="1" applyFill="1" applyBorder="1" applyAlignment="1">
      <alignment horizontal="center" vertical="center"/>
    </xf>
    <xf numFmtId="0" fontId="9" fillId="0" borderId="1" xfId="2" applyNumberFormat="1" applyFont="1" applyFill="1" applyBorder="1" applyProtection="1">
      <protection locked="0"/>
    </xf>
    <xf numFmtId="0" fontId="5" fillId="0" borderId="0" xfId="0" applyNumberFormat="1" applyFont="1" applyAlignment="1">
      <alignment horizontal="center"/>
    </xf>
    <xf numFmtId="0" fontId="7" fillId="3" borderId="1" xfId="0" applyNumberFormat="1" applyFont="1" applyFill="1" applyBorder="1" applyAlignment="1">
      <alignment horizontal="right" vertical="center"/>
    </xf>
    <xf numFmtId="0" fontId="9" fillId="0" borderId="1" xfId="0" applyNumberFormat="1" applyFont="1" applyFill="1" applyBorder="1" applyAlignment="1" applyProtection="1">
      <alignment horizontal="right"/>
      <protection locked="0"/>
    </xf>
    <xf numFmtId="0" fontId="9" fillId="0" borderId="1" xfId="2" applyNumberFormat="1" applyFont="1" applyFill="1" applyBorder="1" applyAlignment="1" applyProtection="1">
      <alignment horizontal="right"/>
      <protection locked="0"/>
    </xf>
    <xf numFmtId="0" fontId="5" fillId="0" borderId="0" xfId="0" applyNumberFormat="1" applyFont="1" applyAlignment="1">
      <alignment horizontal="right"/>
    </xf>
    <xf numFmtId="49" fontId="9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0" xfId="0" applyNumberFormat="1" applyFont="1"/>
    <xf numFmtId="49" fontId="9" fillId="0" borderId="1" xfId="0" applyNumberFormat="1" applyFont="1" applyFill="1" applyBorder="1" applyAlignment="1" applyProtection="1">
      <alignment wrapText="1"/>
      <protection locked="0"/>
    </xf>
    <xf numFmtId="49" fontId="9" fillId="0" borderId="1" xfId="0" applyNumberFormat="1" applyFont="1" applyFill="1" applyBorder="1" applyProtection="1">
      <protection locked="0"/>
    </xf>
    <xf numFmtId="49" fontId="9" fillId="0" borderId="1" xfId="0" applyNumberFormat="1" applyFont="1" applyFill="1" applyBorder="1" applyAlignment="1" applyProtection="1">
      <alignment horizontal="right"/>
      <protection locked="0"/>
    </xf>
    <xf numFmtId="49" fontId="0" fillId="0" borderId="1" xfId="0" applyNumberFormat="1" applyFill="1" applyBorder="1"/>
    <xf numFmtId="49" fontId="16" fillId="0" borderId="1" xfId="0" applyNumberFormat="1" applyFont="1" applyFill="1" applyBorder="1"/>
    <xf numFmtId="0" fontId="0" fillId="0" borderId="1" xfId="0" applyNumberFormat="1" applyFill="1" applyBorder="1"/>
    <xf numFmtId="0" fontId="16" fillId="0" borderId="1" xfId="0" applyNumberFormat="1" applyFont="1" applyFill="1" applyBorder="1"/>
    <xf numFmtId="0" fontId="0" fillId="0" borderId="0" xfId="0" applyNumberFormat="1"/>
    <xf numFmtId="0" fontId="7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0">
    <cellStyle name="Millares 2" xfId="6" xr:uid="{93AAB733-8491-4F69-BE41-C041563F6BF7}"/>
    <cellStyle name="Millares 2 2" xfId="3" xr:uid="{5AEF0B80-913C-4E48-8C12-6E8975AAE823}"/>
    <cellStyle name="Millares 2 2 2" xfId="9" xr:uid="{20F7E572-188A-4D26-85FF-FCB8CC67EAFF}"/>
    <cellStyle name="Millares 2 3" xfId="1" xr:uid="{991CC70B-9B0A-41B5-9F4E-FC0F1BBC2AB7}"/>
    <cellStyle name="Moneda [0]" xfId="2" builtinId="7"/>
    <cellStyle name="Moneda [0] 2" xfId="8" xr:uid="{9579CF09-4DFE-4984-AA1B-7753C7A1E6F4}"/>
    <cellStyle name="Normal" xfId="0" builtinId="0"/>
    <cellStyle name="Normal 2" xfId="4" xr:uid="{CF4B4500-9F54-4215-8B54-0396D53BEC0C}"/>
    <cellStyle name="Normal 3" xfId="7" xr:uid="{4306F52E-3831-46D7-9ACB-8FF9B3C33794}"/>
    <cellStyle name="Normal 5" xfId="5" xr:uid="{88615AA3-2924-4FE1-ADAE-6906C3521DC3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3"/>
  <sheetViews>
    <sheetView tabSelected="1" topLeftCell="AF1" workbookViewId="0">
      <pane ySplit="1" topLeftCell="A2" activePane="bottomLeft" state="frozen"/>
      <selection activeCell="M1" sqref="M1"/>
      <selection pane="bottomLeft" activeCell="AH5" sqref="AH5"/>
    </sheetView>
  </sheetViews>
  <sheetFormatPr baseColWidth="10" defaultColWidth="9.140625" defaultRowHeight="15" x14ac:dyDescent="0.25"/>
  <cols>
    <col min="1" max="1" width="21.7109375" style="13" customWidth="1"/>
    <col min="2" max="2" width="13.5703125" style="13" customWidth="1"/>
    <col min="3" max="3" width="18.7109375" style="13" customWidth="1"/>
    <col min="4" max="4" width="16.28515625" style="13" customWidth="1"/>
    <col min="5" max="5" width="79.7109375" style="13" customWidth="1"/>
    <col min="6" max="6" width="70" style="13" customWidth="1"/>
    <col min="7" max="7" width="70.85546875" style="13" customWidth="1"/>
    <col min="8" max="8" width="20.5703125" style="13" customWidth="1"/>
    <col min="9" max="9" width="11.42578125" style="13" customWidth="1"/>
    <col min="10" max="10" width="25.28515625" style="13" customWidth="1"/>
    <col min="11" max="11" width="20.7109375" style="13" customWidth="1"/>
    <col min="12" max="12" width="36.42578125" style="41" customWidth="1"/>
    <col min="13" max="13" width="26.140625" style="13" customWidth="1"/>
    <col min="14" max="15" width="21.5703125" style="7" customWidth="1"/>
    <col min="16" max="16" width="21.5703125" style="48" customWidth="1"/>
    <col min="17" max="17" width="21.5703125" style="7" customWidth="1"/>
    <col min="18" max="18" width="21.28515625" style="7" customWidth="1"/>
    <col min="19" max="19" width="19.5703125" style="7" customWidth="1"/>
    <col min="20" max="20" width="15.7109375" style="44" customWidth="1"/>
    <col min="21" max="21" width="20.140625" style="8" customWidth="1"/>
    <col min="22" max="22" width="15.5703125" style="8" customWidth="1"/>
    <col min="23" max="23" width="12.5703125" style="8" customWidth="1"/>
    <col min="24" max="24" width="14" style="51" customWidth="1"/>
    <col min="25" max="25" width="14.28515625" style="8" customWidth="1"/>
    <col min="26" max="26" width="24.5703125" style="8" customWidth="1"/>
    <col min="27" max="27" width="12.85546875" style="8" customWidth="1"/>
    <col min="28" max="28" width="13.7109375" style="9" customWidth="1"/>
    <col min="29" max="29" width="20.140625" style="9" customWidth="1"/>
    <col min="30" max="30" width="15.42578125" style="9" customWidth="1"/>
    <col min="31" max="31" width="13.28515625" style="9" customWidth="1"/>
    <col min="32" max="32" width="13.42578125" style="51" customWidth="1"/>
    <col min="33" max="33" width="9.140625" style="8"/>
    <col min="34" max="34" width="9.140625" style="10"/>
    <col min="35" max="35" width="28.85546875" style="10" customWidth="1"/>
    <col min="36" max="36" width="21.28515625" style="11" customWidth="1"/>
    <col min="37" max="37" width="20.28515625" style="11" customWidth="1"/>
    <col min="38" max="38" width="24" style="11" customWidth="1"/>
    <col min="39" max="39" width="19.7109375" style="12" customWidth="1"/>
    <col min="40" max="40" width="20.5703125" style="11" customWidth="1"/>
    <col min="41" max="41" width="16.7109375" style="11" customWidth="1"/>
    <col min="42" max="42" width="26.7109375" style="11" customWidth="1"/>
    <col min="43" max="43" width="17.85546875" style="59" customWidth="1"/>
    <col min="44" max="44" width="15.5703125" style="59" customWidth="1"/>
    <col min="45" max="45" width="17.7109375" style="59" customWidth="1"/>
    <col min="46" max="46" width="15.7109375" style="11" customWidth="1"/>
    <col min="47" max="47" width="17.140625" style="11" customWidth="1"/>
    <col min="48" max="50" width="17.28515625" style="59" customWidth="1"/>
    <col min="51" max="52" width="21.5703125" style="11" customWidth="1"/>
    <col min="53" max="55" width="21.5703125" style="59" customWidth="1"/>
    <col min="56" max="62" width="21.85546875" customWidth="1"/>
    <col min="63" max="65" width="21.85546875" style="59" customWidth="1"/>
    <col min="66" max="66" width="31.85546875" style="59" customWidth="1"/>
    <col min="67" max="67" width="22.5703125" style="59" customWidth="1"/>
    <col min="68" max="68" width="18.85546875" style="59" customWidth="1"/>
  </cols>
  <sheetData>
    <row r="1" spans="1:68" s="1" customFormat="1" ht="29.25" customHeight="1" x14ac:dyDescent="0.2">
      <c r="A1" s="2" t="s">
        <v>47</v>
      </c>
      <c r="B1" s="2" t="s">
        <v>48</v>
      </c>
      <c r="C1" s="3" t="s">
        <v>49</v>
      </c>
      <c r="D1" s="3" t="s">
        <v>50</v>
      </c>
      <c r="E1" s="3" t="s">
        <v>51</v>
      </c>
      <c r="F1" s="31" t="s">
        <v>52</v>
      </c>
      <c r="G1" s="3" t="s">
        <v>53</v>
      </c>
      <c r="H1" s="3" t="s">
        <v>54</v>
      </c>
      <c r="I1" s="32" t="s">
        <v>55</v>
      </c>
      <c r="J1" s="3" t="s">
        <v>56</v>
      </c>
      <c r="K1" s="3" t="s">
        <v>57</v>
      </c>
      <c r="L1" s="33" t="s">
        <v>58</v>
      </c>
      <c r="M1" s="3" t="s">
        <v>59</v>
      </c>
      <c r="N1" s="4" t="s">
        <v>60</v>
      </c>
      <c r="O1" s="4" t="s">
        <v>61</v>
      </c>
      <c r="P1" s="45" t="s">
        <v>62</v>
      </c>
      <c r="Q1" s="4" t="s">
        <v>63</v>
      </c>
      <c r="R1" s="4" t="s">
        <v>64</v>
      </c>
      <c r="S1" s="4" t="s">
        <v>65</v>
      </c>
      <c r="T1" s="42" t="s">
        <v>66</v>
      </c>
      <c r="U1" s="4" t="s">
        <v>67</v>
      </c>
      <c r="V1" s="4" t="s">
        <v>68</v>
      </c>
      <c r="W1" s="4" t="s">
        <v>69</v>
      </c>
      <c r="X1" s="42" t="s">
        <v>70</v>
      </c>
      <c r="Y1" s="4" t="s">
        <v>71</v>
      </c>
      <c r="Z1" s="4" t="s">
        <v>72</v>
      </c>
      <c r="AA1" s="4" t="s">
        <v>73</v>
      </c>
      <c r="AB1" s="6" t="s">
        <v>74</v>
      </c>
      <c r="AC1" s="4" t="s">
        <v>75</v>
      </c>
      <c r="AD1" s="4" t="s">
        <v>76</v>
      </c>
      <c r="AE1" s="5" t="s">
        <v>77</v>
      </c>
      <c r="AF1" s="42" t="s">
        <v>78</v>
      </c>
      <c r="AG1" s="4" t="s">
        <v>79</v>
      </c>
      <c r="AH1" s="4" t="s">
        <v>80</v>
      </c>
      <c r="AI1" s="6" t="s">
        <v>81</v>
      </c>
      <c r="AJ1" s="4" t="s">
        <v>82</v>
      </c>
      <c r="AK1" s="4" t="s">
        <v>83</v>
      </c>
      <c r="AL1" s="4" t="s">
        <v>84</v>
      </c>
      <c r="AM1" s="4" t="s">
        <v>85</v>
      </c>
      <c r="AN1" s="4" t="s">
        <v>86</v>
      </c>
      <c r="AO1" s="4" t="s">
        <v>87</v>
      </c>
      <c r="AP1" s="14" t="s">
        <v>88</v>
      </c>
      <c r="AQ1" s="42" t="s">
        <v>89</v>
      </c>
      <c r="AR1" s="42" t="s">
        <v>90</v>
      </c>
      <c r="AS1" s="42" t="s">
        <v>91</v>
      </c>
      <c r="AT1" s="4" t="s">
        <v>92</v>
      </c>
      <c r="AU1" s="14" t="s">
        <v>93</v>
      </c>
      <c r="AV1" s="42" t="s">
        <v>94</v>
      </c>
      <c r="AW1" s="42" t="s">
        <v>95</v>
      </c>
      <c r="AX1" s="42" t="s">
        <v>96</v>
      </c>
      <c r="AY1" s="4" t="s">
        <v>97</v>
      </c>
      <c r="AZ1" s="14" t="s">
        <v>98</v>
      </c>
      <c r="BA1" s="42" t="s">
        <v>99</v>
      </c>
      <c r="BB1" s="42" t="s">
        <v>100</v>
      </c>
      <c r="BC1" s="42" t="s">
        <v>101</v>
      </c>
      <c r="BD1" s="4" t="s">
        <v>102</v>
      </c>
      <c r="BE1" s="14" t="s">
        <v>103</v>
      </c>
      <c r="BF1" s="4" t="s">
        <v>104</v>
      </c>
      <c r="BG1" s="4" t="s">
        <v>105</v>
      </c>
      <c r="BH1" s="4" t="s">
        <v>106</v>
      </c>
      <c r="BI1" s="4" t="s">
        <v>107</v>
      </c>
      <c r="BJ1" s="14" t="s">
        <v>108</v>
      </c>
      <c r="BK1" s="42" t="s">
        <v>109</v>
      </c>
      <c r="BL1" s="42" t="s">
        <v>110</v>
      </c>
      <c r="BM1" s="42" t="s">
        <v>111</v>
      </c>
      <c r="BN1" s="42" t="s">
        <v>112</v>
      </c>
      <c r="BO1" s="60" t="s">
        <v>113</v>
      </c>
      <c r="BP1" s="60" t="s">
        <v>114</v>
      </c>
    </row>
    <row r="2" spans="1:68" s="26" customFormat="1" ht="15.75" x14ac:dyDescent="0.25">
      <c r="A2" s="15"/>
      <c r="B2" s="15"/>
      <c r="C2" s="34"/>
      <c r="D2" s="34">
        <v>900346943</v>
      </c>
      <c r="E2" s="35" t="s">
        <v>13</v>
      </c>
      <c r="F2" s="36" t="s">
        <v>20</v>
      </c>
      <c r="G2" s="37" t="s">
        <v>19</v>
      </c>
      <c r="H2" s="18"/>
      <c r="I2" s="15">
        <v>47001</v>
      </c>
      <c r="J2" s="38" t="s">
        <v>1</v>
      </c>
      <c r="K2" s="15" t="s">
        <v>25</v>
      </c>
      <c r="L2" s="39" t="str">
        <f>G2</f>
        <v>madecarmefer@hotmail.com</v>
      </c>
      <c r="M2" s="15" t="s">
        <v>5</v>
      </c>
      <c r="N2" s="34">
        <v>6173</v>
      </c>
      <c r="O2" s="34" t="s">
        <v>31</v>
      </c>
      <c r="P2" s="46">
        <v>294750</v>
      </c>
      <c r="Q2" s="49" t="s">
        <v>3</v>
      </c>
      <c r="R2" s="21"/>
      <c r="S2" s="21"/>
      <c r="T2" s="50"/>
      <c r="U2" s="21"/>
      <c r="V2" s="21"/>
      <c r="W2" s="21"/>
      <c r="X2" s="50"/>
      <c r="Y2" s="21"/>
      <c r="Z2" s="21"/>
      <c r="AA2" s="21"/>
      <c r="AB2" s="19"/>
      <c r="AC2" s="22"/>
      <c r="AD2" s="20"/>
      <c r="AE2" s="23"/>
      <c r="AF2" s="61"/>
      <c r="AG2" s="23"/>
      <c r="AH2" s="24" t="s">
        <v>0</v>
      </c>
      <c r="AI2" s="25"/>
      <c r="AJ2" s="52">
        <v>3340</v>
      </c>
      <c r="AK2" s="53" t="s">
        <v>33</v>
      </c>
      <c r="AL2" s="53" t="s">
        <v>35</v>
      </c>
      <c r="AM2" s="54" t="s">
        <v>16</v>
      </c>
      <c r="AN2" s="55" t="s">
        <v>36</v>
      </c>
      <c r="AO2" s="55" t="s">
        <v>18</v>
      </c>
      <c r="AP2" s="55" t="s">
        <v>37</v>
      </c>
      <c r="AQ2" s="57">
        <v>294750</v>
      </c>
      <c r="AR2" s="57">
        <v>916081</v>
      </c>
      <c r="AS2" s="57">
        <f>AR2+AQ2</f>
        <v>1210831</v>
      </c>
      <c r="AT2" s="55"/>
      <c r="AU2" s="55"/>
      <c r="AV2" s="57"/>
      <c r="AW2" s="57"/>
      <c r="AX2" s="57"/>
      <c r="AY2" s="55"/>
      <c r="AZ2" s="55"/>
      <c r="BA2" s="57"/>
      <c r="BB2" s="57"/>
      <c r="BC2" s="57"/>
      <c r="BD2" s="29"/>
      <c r="BE2" s="29"/>
      <c r="BF2" s="29"/>
      <c r="BG2" s="29"/>
      <c r="BH2" s="29"/>
      <c r="BI2" s="29"/>
      <c r="BJ2" s="29"/>
      <c r="BK2" s="57"/>
      <c r="BL2" s="57"/>
      <c r="BM2" s="57"/>
      <c r="BN2" s="57">
        <v>294750</v>
      </c>
      <c r="BO2" s="57">
        <v>916081</v>
      </c>
      <c r="BP2" s="57">
        <f>BO2+BN2</f>
        <v>1210831</v>
      </c>
    </row>
    <row r="3" spans="1:68" s="26" customFormat="1" ht="15.75" x14ac:dyDescent="0.25">
      <c r="A3" s="15"/>
      <c r="B3" s="15"/>
      <c r="C3" s="34"/>
      <c r="D3" s="34">
        <v>802017909</v>
      </c>
      <c r="E3" s="35" t="s">
        <v>14</v>
      </c>
      <c r="F3" s="36" t="s">
        <v>23</v>
      </c>
      <c r="G3" s="36" t="s">
        <v>22</v>
      </c>
      <c r="H3" s="18"/>
      <c r="I3" s="15" t="s">
        <v>24</v>
      </c>
      <c r="J3" s="40" t="s">
        <v>2</v>
      </c>
      <c r="K3" s="15" t="s">
        <v>25</v>
      </c>
      <c r="L3" s="39" t="str">
        <f>G3</f>
        <v>omaruparela@hotmail.com</v>
      </c>
      <c r="M3" s="15" t="s">
        <v>5</v>
      </c>
      <c r="N3" s="34">
        <v>3117</v>
      </c>
      <c r="O3" s="34" t="s">
        <v>32</v>
      </c>
      <c r="P3" s="46">
        <v>5356000</v>
      </c>
      <c r="Q3" s="34" t="s">
        <v>15</v>
      </c>
      <c r="R3" s="21"/>
      <c r="S3" s="21"/>
      <c r="T3" s="50"/>
      <c r="U3" s="21"/>
      <c r="V3" s="21"/>
      <c r="W3" s="21"/>
      <c r="X3" s="50"/>
      <c r="Y3" s="21"/>
      <c r="Z3" s="21"/>
      <c r="AA3" s="21"/>
      <c r="AB3" s="19"/>
      <c r="AC3" s="22"/>
      <c r="AD3" s="20"/>
      <c r="AE3" s="23"/>
      <c r="AF3" s="61"/>
      <c r="AG3" s="23"/>
      <c r="AH3" s="24" t="s">
        <v>0</v>
      </c>
      <c r="AI3" s="25"/>
      <c r="AJ3" s="52">
        <v>1327</v>
      </c>
      <c r="AK3" s="53" t="s">
        <v>34</v>
      </c>
      <c r="AL3" s="53" t="s">
        <v>35</v>
      </c>
      <c r="AM3" s="54" t="s">
        <v>17</v>
      </c>
      <c r="AN3" s="55" t="s">
        <v>36</v>
      </c>
      <c r="AO3" s="56" t="s">
        <v>21</v>
      </c>
      <c r="AP3" s="56" t="s">
        <v>38</v>
      </c>
      <c r="AQ3" s="58">
        <v>5356000</v>
      </c>
      <c r="AR3" s="58">
        <v>4005525</v>
      </c>
      <c r="AS3" s="57">
        <f>AQ3+AR3</f>
        <v>9361525</v>
      </c>
      <c r="AT3" s="55"/>
      <c r="AU3" s="55"/>
      <c r="AV3" s="57"/>
      <c r="AW3" s="57"/>
      <c r="AX3" s="57"/>
      <c r="AY3" s="55"/>
      <c r="AZ3" s="55"/>
      <c r="BA3" s="57"/>
      <c r="BB3" s="57"/>
      <c r="BC3" s="57"/>
      <c r="BD3" s="29"/>
      <c r="BE3" s="29"/>
      <c r="BF3" s="29"/>
      <c r="BG3" s="29"/>
      <c r="BH3" s="29"/>
      <c r="BI3" s="29"/>
      <c r="BJ3" s="29"/>
      <c r="BK3" s="57"/>
      <c r="BL3" s="57"/>
      <c r="BM3" s="57"/>
      <c r="BN3" s="58">
        <v>5356000</v>
      </c>
      <c r="BO3" s="58">
        <v>4005525</v>
      </c>
      <c r="BP3" s="57">
        <f>BN3+BO3</f>
        <v>9361525</v>
      </c>
    </row>
    <row r="4" spans="1:68" s="26" customFormat="1" ht="15.75" x14ac:dyDescent="0.25">
      <c r="A4" s="15"/>
      <c r="B4" s="15"/>
      <c r="C4" s="27"/>
      <c r="D4" s="34">
        <v>891801962</v>
      </c>
      <c r="E4" s="35" t="s">
        <v>26</v>
      </c>
      <c r="F4" s="36" t="s">
        <v>29</v>
      </c>
      <c r="G4" s="36" t="s">
        <v>28</v>
      </c>
      <c r="H4" s="18"/>
      <c r="I4" s="15">
        <v>15183</v>
      </c>
      <c r="J4" s="40" t="s">
        <v>30</v>
      </c>
      <c r="K4" s="15" t="s">
        <v>25</v>
      </c>
      <c r="L4" s="39" t="str">
        <f>G4</f>
        <v>notificacionjudicial@chita-boyaca.gov.co</v>
      </c>
      <c r="M4" s="15" t="s">
        <v>5</v>
      </c>
      <c r="N4" s="34">
        <v>3915</v>
      </c>
      <c r="O4" s="34" t="s">
        <v>10</v>
      </c>
      <c r="P4" s="47">
        <v>1447358</v>
      </c>
      <c r="Q4" s="34" t="s">
        <v>6</v>
      </c>
      <c r="R4" s="34">
        <v>3916</v>
      </c>
      <c r="S4" s="34" t="s">
        <v>10</v>
      </c>
      <c r="T4" s="43">
        <v>3937435</v>
      </c>
      <c r="U4" s="34" t="s">
        <v>6</v>
      </c>
      <c r="V4" s="34">
        <v>3917</v>
      </c>
      <c r="W4" s="34" t="s">
        <v>10</v>
      </c>
      <c r="X4" s="43">
        <v>1041698</v>
      </c>
      <c r="Y4" s="34" t="s">
        <v>6</v>
      </c>
      <c r="Z4" s="21"/>
      <c r="AA4" s="21"/>
      <c r="AB4" s="19"/>
      <c r="AC4" s="22"/>
      <c r="AD4" s="20"/>
      <c r="AE4" s="23"/>
      <c r="AF4" s="61"/>
      <c r="AG4" s="23"/>
      <c r="AH4" s="24" t="s">
        <v>0</v>
      </c>
      <c r="AI4" s="25"/>
      <c r="AJ4" s="52">
        <v>3244</v>
      </c>
      <c r="AK4" s="53" t="s">
        <v>11</v>
      </c>
      <c r="AL4" s="53" t="s">
        <v>12</v>
      </c>
      <c r="AM4" s="54" t="s">
        <v>27</v>
      </c>
      <c r="AN4" s="55" t="s">
        <v>36</v>
      </c>
      <c r="AO4" s="55" t="s">
        <v>18</v>
      </c>
      <c r="AP4" s="56" t="s">
        <v>9</v>
      </c>
      <c r="AQ4" s="58">
        <v>1447358</v>
      </c>
      <c r="AR4" s="58">
        <v>3977764</v>
      </c>
      <c r="AS4" s="57">
        <f>AQ4+AR4</f>
        <v>5425122</v>
      </c>
      <c r="AT4" s="55" t="s">
        <v>18</v>
      </c>
      <c r="AU4" s="56" t="s">
        <v>9</v>
      </c>
      <c r="AV4" s="58">
        <v>3937435</v>
      </c>
      <c r="AW4" s="58">
        <v>10821218</v>
      </c>
      <c r="AX4" s="57">
        <f>AW4+AV4</f>
        <v>14758653</v>
      </c>
      <c r="AY4" s="55" t="s">
        <v>18</v>
      </c>
      <c r="AZ4" s="56" t="s">
        <v>9</v>
      </c>
      <c r="BA4" s="58">
        <v>1041698</v>
      </c>
      <c r="BB4" s="58">
        <v>2862889</v>
      </c>
      <c r="BC4" s="57">
        <f>BA4+BB4</f>
        <v>3904587</v>
      </c>
      <c r="BD4" s="29"/>
      <c r="BE4" s="29"/>
      <c r="BF4" s="29"/>
      <c r="BG4" s="29"/>
      <c r="BH4" s="29"/>
      <c r="BI4" s="29"/>
      <c r="BJ4" s="29"/>
      <c r="BK4" s="57"/>
      <c r="BL4" s="57"/>
      <c r="BM4" s="57"/>
      <c r="BN4" s="57">
        <f>AQ4+AV4+BA4</f>
        <v>6426491</v>
      </c>
      <c r="BO4" s="57">
        <f>AR4+AW4+BB4</f>
        <v>17661871</v>
      </c>
      <c r="BP4" s="57">
        <f>BC4+AX4+AS4</f>
        <v>24088362</v>
      </c>
    </row>
    <row r="5" spans="1:68" s="26" customFormat="1" ht="15.75" x14ac:dyDescent="0.25">
      <c r="A5" s="15"/>
      <c r="B5" s="15"/>
      <c r="C5" s="15"/>
      <c r="D5" s="16">
        <v>800042974</v>
      </c>
      <c r="E5" s="17" t="s">
        <v>39</v>
      </c>
      <c r="F5" s="36" t="s">
        <v>46</v>
      </c>
      <c r="G5" s="36" t="s">
        <v>45</v>
      </c>
      <c r="H5" s="15"/>
      <c r="I5" s="62" t="s">
        <v>8</v>
      </c>
      <c r="J5" s="28" t="s">
        <v>7</v>
      </c>
      <c r="K5" s="15" t="s">
        <v>4</v>
      </c>
      <c r="L5" s="36" t="s">
        <v>45</v>
      </c>
      <c r="M5" s="15" t="s">
        <v>5</v>
      </c>
      <c r="N5" s="34">
        <v>2730</v>
      </c>
      <c r="O5" s="34" t="s">
        <v>44</v>
      </c>
      <c r="P5" s="43">
        <v>808569</v>
      </c>
      <c r="Q5" s="34" t="s">
        <v>6</v>
      </c>
      <c r="R5" s="34">
        <v>2731</v>
      </c>
      <c r="S5" s="34" t="s">
        <v>44</v>
      </c>
      <c r="T5" s="43">
        <v>10855566</v>
      </c>
      <c r="U5" s="34" t="s">
        <v>6</v>
      </c>
      <c r="V5" s="34">
        <v>2732</v>
      </c>
      <c r="W5" s="34" t="s">
        <v>44</v>
      </c>
      <c r="X5" s="43">
        <v>11626222</v>
      </c>
      <c r="Y5" s="34" t="s">
        <v>6</v>
      </c>
      <c r="Z5" s="34">
        <v>2733</v>
      </c>
      <c r="AA5" s="34" t="s">
        <v>44</v>
      </c>
      <c r="AB5" s="43">
        <v>11093299</v>
      </c>
      <c r="AC5" s="34" t="s">
        <v>6</v>
      </c>
      <c r="AD5" s="34">
        <v>2734</v>
      </c>
      <c r="AE5" s="34" t="s">
        <v>44</v>
      </c>
      <c r="AF5" s="43">
        <v>2598073</v>
      </c>
      <c r="AG5" s="34" t="s">
        <v>6</v>
      </c>
      <c r="AH5" s="63" t="s">
        <v>0</v>
      </c>
      <c r="AI5" s="64"/>
      <c r="AJ5" s="52">
        <v>10773</v>
      </c>
      <c r="AK5" s="53" t="s">
        <v>43</v>
      </c>
      <c r="AL5" s="56" t="s">
        <v>41</v>
      </c>
      <c r="AM5" s="46" t="s">
        <v>40</v>
      </c>
      <c r="AN5" s="55" t="s">
        <v>36</v>
      </c>
      <c r="AO5" s="55" t="s">
        <v>18</v>
      </c>
      <c r="AP5" s="56" t="s">
        <v>42</v>
      </c>
      <c r="AQ5" s="58">
        <v>808569</v>
      </c>
      <c r="AR5" s="58">
        <v>2217089</v>
      </c>
      <c r="AS5" s="57">
        <f>AQ5+AR5</f>
        <v>3025658</v>
      </c>
      <c r="AT5" s="55" t="s">
        <v>18</v>
      </c>
      <c r="AU5" s="56" t="s">
        <v>42</v>
      </c>
      <c r="AV5" s="58">
        <v>10855566</v>
      </c>
      <c r="AW5" s="58">
        <v>29765866</v>
      </c>
      <c r="AX5" s="57">
        <f>AV5+AW5</f>
        <v>40621432</v>
      </c>
      <c r="AY5" s="55" t="s">
        <v>18</v>
      </c>
      <c r="AZ5" s="56" t="s">
        <v>42</v>
      </c>
      <c r="BA5" s="58">
        <v>11626222</v>
      </c>
      <c r="BB5" s="58">
        <v>31879002</v>
      </c>
      <c r="BC5" s="57">
        <f>BA5+BB5</f>
        <v>43505224</v>
      </c>
      <c r="BD5" s="55" t="s">
        <v>18</v>
      </c>
      <c r="BE5" s="56" t="s">
        <v>42</v>
      </c>
      <c r="BF5" s="58">
        <v>11093299</v>
      </c>
      <c r="BG5" s="58">
        <v>30417735</v>
      </c>
      <c r="BH5" s="57">
        <f>BG5+BF5</f>
        <v>41511034</v>
      </c>
      <c r="BI5" s="55" t="s">
        <v>18</v>
      </c>
      <c r="BJ5" s="30">
        <v>42089</v>
      </c>
      <c r="BK5" s="58">
        <v>2598073</v>
      </c>
      <c r="BL5" s="58">
        <v>7123893</v>
      </c>
      <c r="BM5" s="57">
        <f>BL5+BK5</f>
        <v>9721966</v>
      </c>
      <c r="BN5" s="58">
        <v>36981729</v>
      </c>
      <c r="BO5" s="58">
        <v>101403585</v>
      </c>
      <c r="BP5" s="58">
        <v>138385314</v>
      </c>
    </row>
    <row r="13" spans="1:68" ht="10.5" customHeight="1" x14ac:dyDescent="0.25"/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bcaNaKL49YpMO+XyfbYwDMnG+7Mt+Vz+58U9VuWoujDXp/vuHCA1OaqxTrVy51xhQTkiZB2RzUc67vXn87jNWA==" saltValue="BRP3kLjwvp6z0mAbf9SQlw==" spinCount="100000" sqref="O10" name="Rango2_1_1_1_4"/>
    <protectedRange algorithmName="SHA-512" hashValue="bcaNaKL49YpMO+XyfbYwDMnG+7Mt+Vz+58U9VuWoujDXp/vuHCA1OaqxTrVy51xhQTkiZB2RzUc67vXn87jNWA==" saltValue="BRP3kLjwvp6z0mAbf9SQlw==" spinCount="100000" sqref="O11" name="Rango2_1_1_1_5"/>
    <protectedRange algorithmName="SHA-512" hashValue="bcaNaKL49YpMO+XyfbYwDMnG+7Mt+Vz+58U9VuWoujDXp/vuHCA1OaqxTrVy51xhQTkiZB2RzUc67vXn87jNWA==" saltValue="BRP3kLjwvp6z0mAbf9SQlw==" spinCount="100000" sqref="O12" name="Rango2_1_1_1_7_3"/>
    <protectedRange algorithmName="SHA-512" hashValue="bcaNaKL49YpMO+XyfbYwDMnG+7Mt+Vz+58U9VuWoujDXp/vuHCA1OaqxTrVy51xhQTkiZB2RzUc67vXn87jNWA==" saltValue="BRP3kLjwvp6z0mAbf9SQlw==" spinCount="100000" sqref="O13" name="Rango2_1_1_1_8_1"/>
    <protectedRange algorithmName="SHA-512" hashValue="bcaNaKL49YpMO+XyfbYwDMnG+7Mt+Vz+58U9VuWoujDXp/vuHCA1OaqxTrVy51xhQTkiZB2RzUc67vXn87jNWA==" saltValue="BRP3kLjwvp6z0mAbf9SQlw==" spinCount="100000" sqref="O31" name="Rango2_1_1_1_9_1"/>
    <protectedRange algorithmName="SHA-512" hashValue="bcaNaKL49YpMO+XyfbYwDMnG+7Mt+Vz+58U9VuWoujDXp/vuHCA1OaqxTrVy51xhQTkiZB2RzUc67vXn87jNWA==" saltValue="BRP3kLjwvp6z0mAbf9SQlw==" spinCount="100000" sqref="O129" name="Rango2_1_1_1"/>
    <protectedRange algorithmName="SHA-512" hashValue="bcaNaKL49YpMO+XyfbYwDMnG+7Mt+Vz+58U9VuWoujDXp/vuHCA1OaqxTrVy51xhQTkiZB2RzUc67vXn87jNWA==" saltValue="BRP3kLjwvp6z0mAbf9SQlw==" spinCount="100000" sqref="O130" name="Rango2_1_1_1_1"/>
    <protectedRange algorithmName="SHA-512" hashValue="bcaNaKL49YpMO+XyfbYwDMnG+7Mt+Vz+58U9VuWoujDXp/vuHCA1OaqxTrVy51xhQTkiZB2RzUc67vXn87jNWA==" saltValue="BRP3kLjwvp6z0mAbf9SQlw==" spinCount="100000" sqref="O131" name="Rango2_1_1_1_2_2"/>
    <protectedRange algorithmName="SHA-512" hashValue="bcaNaKL49YpMO+XyfbYwDMnG+7Mt+Vz+58U9VuWoujDXp/vuHCA1OaqxTrVy51xhQTkiZB2RzUc67vXn87jNWA==" saltValue="BRP3kLjwvp6z0mAbf9SQlw==" spinCount="100000" sqref="O132" name="Rango2_1_1_1_3_2"/>
    <protectedRange algorithmName="SHA-512" hashValue="bcaNaKL49YpMO+XyfbYwDMnG+7Mt+Vz+58U9VuWoujDXp/vuHCA1OaqxTrVy51xhQTkiZB2RzUc67vXn87jNWA==" saltValue="BRP3kLjwvp6z0mAbf9SQlw==" spinCount="100000" sqref="O133" name="Rango2_1_1_1_4_2"/>
    <protectedRange algorithmName="SHA-512" hashValue="bcaNaKL49YpMO+XyfbYwDMnG+7Mt+Vz+58U9VuWoujDXp/vuHCA1OaqxTrVy51xhQTkiZB2RzUc67vXn87jNWA==" saltValue="BRP3kLjwvp6z0mAbf9SQlw==" spinCount="100000" sqref="O134" name="Rango2_1_1_1_5_2"/>
    <protectedRange algorithmName="SHA-512" hashValue="bcaNaKL49YpMO+XyfbYwDMnG+7Mt+Vz+58U9VuWoujDXp/vuHCA1OaqxTrVy51xhQTkiZB2RzUc67vXn87jNWA==" saltValue="BRP3kLjwvp6z0mAbf9SQlw==" spinCount="100000" sqref="O135" name="Rango2_1_1_1_6"/>
    <protectedRange algorithmName="SHA-512" hashValue="bcaNaKL49YpMO+XyfbYwDMnG+7Mt+Vz+58U9VuWoujDXp/vuHCA1OaqxTrVy51xhQTkiZB2RzUc67vXn87jNWA==" saltValue="BRP3kLjwvp6z0mAbf9SQlw==" spinCount="100000" sqref="O136" name="Rango2_1_1_1_7_4"/>
    <protectedRange algorithmName="SHA-512" hashValue="bcaNaKL49YpMO+XyfbYwDMnG+7Mt+Vz+58U9VuWoujDXp/vuHCA1OaqxTrVy51xhQTkiZB2RzUc67vXn87jNWA==" saltValue="BRP3kLjwvp6z0mAbf9SQlw==" spinCount="100000" sqref="O137" name="Rango2_1_1_1_8_2"/>
    <protectedRange algorithmName="SHA-512" hashValue="bcaNaKL49YpMO+XyfbYwDMnG+7Mt+Vz+58U9VuWoujDXp/vuHCA1OaqxTrVy51xhQTkiZB2RzUc67vXn87jNWA==" saltValue="BRP3kLjwvp6z0mAbf9SQlw==" spinCount="100000" sqref="O138" name="Rango2_1_1_1_9_2"/>
    <protectedRange algorithmName="SHA-512" hashValue="bcaNaKL49YpMO+XyfbYwDMnG+7Mt+Vz+58U9VuWoujDXp/vuHCA1OaqxTrVy51xhQTkiZB2RzUc67vXn87jNWA==" saltValue="BRP3kLjwvp6z0mAbf9SQlw==" spinCount="100000" sqref="O139" name="Rango2_1_1_1_10_1"/>
    <protectedRange algorithmName="SHA-512" hashValue="bcaNaKL49YpMO+XyfbYwDMnG+7Mt+Vz+58U9VuWoujDXp/vuHCA1OaqxTrVy51xhQTkiZB2RzUc67vXn87jNWA==" saltValue="BRP3kLjwvp6z0mAbf9SQlw==" spinCount="100000" sqref="O140" name="Rango2_1_1_1_11_1"/>
    <protectedRange algorithmName="SHA-512" hashValue="bcaNaKL49YpMO+XyfbYwDMnG+7Mt+Vz+58U9VuWoujDXp/vuHCA1OaqxTrVy51xhQTkiZB2RzUc67vXn87jNWA==" saltValue="BRP3kLjwvp6z0mAbf9SQlw==" spinCount="100000" sqref="O141" name="Rango2_1_1_1_12_1"/>
    <protectedRange algorithmName="SHA-512" hashValue="bcaNaKL49YpMO+XyfbYwDMnG+7Mt+Vz+58U9VuWoujDXp/vuHCA1OaqxTrVy51xhQTkiZB2RzUc67vXn87jNWA==" saltValue="BRP3kLjwvp6z0mAbf9SQlw==" spinCount="100000" sqref="O152" name="Rango2_1_1_1_13_1"/>
    <protectedRange algorithmName="SHA-512" hashValue="bcaNaKL49YpMO+XyfbYwDMnG+7Mt+Vz+58U9VuWoujDXp/vuHCA1OaqxTrVy51xhQTkiZB2RzUc67vXn87jNWA==" saltValue="BRP3kLjwvp6z0mAbf9SQlw==" spinCount="100000" sqref="S156 O156" name="Rango2_1_1_1_14_1"/>
    <protectedRange algorithmName="SHA-512" hashValue="bcaNaKL49YpMO+XyfbYwDMnG+7Mt+Vz+58U9VuWoujDXp/vuHCA1OaqxTrVy51xhQTkiZB2RzUc67vXn87jNWA==" saltValue="BRP3kLjwvp6z0mAbf9SQlw==" spinCount="100000" sqref="O223" name="Rango2_1_1_1_16"/>
    <protectedRange algorithmName="SHA-512" hashValue="bcaNaKL49YpMO+XyfbYwDMnG+7Mt+Vz+58U9VuWoujDXp/vuHCA1OaqxTrVy51xhQTkiZB2RzUc67vXn87jNWA==" saltValue="BRP3kLjwvp6z0mAbf9SQlw==" spinCount="100000" sqref="O224" name="Rango2_1_1_1_1_1"/>
    <protectedRange algorithmName="SHA-512" hashValue="bcaNaKL49YpMO+XyfbYwDMnG+7Mt+Vz+58U9VuWoujDXp/vuHCA1OaqxTrVy51xhQTkiZB2RzUc67vXn87jNWA==" saltValue="BRP3kLjwvp6z0mAbf9SQlw==" spinCount="100000" sqref="O225" name="Rango2_1_1_1_2_3"/>
    <protectedRange algorithmName="SHA-512" hashValue="bcaNaKL49YpMO+XyfbYwDMnG+7Mt+Vz+58U9VuWoujDXp/vuHCA1OaqxTrVy51xhQTkiZB2RzUc67vXn87jNWA==" saltValue="BRP3kLjwvp6z0mAbf9SQlw==" spinCount="100000" sqref="O226" name="Rango2_1_1_1_3_3"/>
    <protectedRange algorithmName="SHA-512" hashValue="bcaNaKL49YpMO+XyfbYwDMnG+7Mt+Vz+58U9VuWoujDXp/vuHCA1OaqxTrVy51xhQTkiZB2RzUc67vXn87jNWA==" saltValue="BRP3kLjwvp6z0mAbf9SQlw==" spinCount="100000" sqref="O228" name="Rango2_1_1_1_5_3"/>
    <protectedRange algorithmName="SHA-512" hashValue="bcaNaKL49YpMO+XyfbYwDMnG+7Mt+Vz+58U9VuWoujDXp/vuHCA1OaqxTrVy51xhQTkiZB2RzUc67vXn87jNWA==" saltValue="BRP3kLjwvp6z0mAbf9SQlw==" spinCount="100000" sqref="O229" name="Rango2_1_1_1_6_2"/>
    <protectedRange algorithmName="SHA-512" hashValue="bcaNaKL49YpMO+XyfbYwDMnG+7Mt+Vz+58U9VuWoujDXp/vuHCA1OaqxTrVy51xhQTkiZB2RzUc67vXn87jNWA==" saltValue="BRP3kLjwvp6z0mAbf9SQlw==" spinCount="100000" sqref="O230" name="Rango2_1_1_1_7_5"/>
    <protectedRange algorithmName="SHA-512" hashValue="bcaNaKL49YpMO+XyfbYwDMnG+7Mt+Vz+58U9VuWoujDXp/vuHCA1OaqxTrVy51xhQTkiZB2RzUc67vXn87jNWA==" saltValue="BRP3kLjwvp6z0mAbf9SQlw==" spinCount="100000" sqref="O233" name="Rango2_1_1_1_8_3"/>
    <protectedRange algorithmName="SHA-512" hashValue="bcaNaKL49YpMO+XyfbYwDMnG+7Mt+Vz+58U9VuWoujDXp/vuHCA1OaqxTrVy51xhQTkiZB2RzUc67vXn87jNWA==" saltValue="BRP3kLjwvp6z0mAbf9SQlw==" spinCount="100000" sqref="O234" name="Rango2_1_1_1_9_3"/>
    <protectedRange algorithmName="SHA-512" hashValue="bcaNaKL49YpMO+XyfbYwDMnG+7Mt+Vz+58U9VuWoujDXp/vuHCA1OaqxTrVy51xhQTkiZB2RzUc67vXn87jNWA==" saltValue="BRP3kLjwvp6z0mAbf9SQlw==" spinCount="100000" sqref="O235" name="Rango2_1_1_1_10_2"/>
    <protectedRange algorithmName="SHA-512" hashValue="bcaNaKL49YpMO+XyfbYwDMnG+7Mt+Vz+58U9VuWoujDXp/vuHCA1OaqxTrVy51xhQTkiZB2RzUc67vXn87jNWA==" saltValue="BRP3kLjwvp6z0mAbf9SQlw==" spinCount="100000" sqref="O236" name="Rango2_1_1_1_11_2"/>
    <protectedRange algorithmName="SHA-512" hashValue="bcaNaKL49YpMO+XyfbYwDMnG+7Mt+Vz+58U9VuWoujDXp/vuHCA1OaqxTrVy51xhQTkiZB2RzUc67vXn87jNWA==" saltValue="BRP3kLjwvp6z0mAbf9SQlw==" spinCount="100000" sqref="O237" name="Rango2_1_1_1_12_2"/>
    <protectedRange algorithmName="SHA-512" hashValue="bcaNaKL49YpMO+XyfbYwDMnG+7Mt+Vz+58U9VuWoujDXp/vuHCA1OaqxTrVy51xhQTkiZB2RzUc67vXn87jNWA==" saltValue="BRP3kLjwvp6z0mAbf9SQlw==" spinCount="100000" sqref="O238" name="Rango2_1_1_1_13_2"/>
    <protectedRange algorithmName="SHA-512" hashValue="bcaNaKL49YpMO+XyfbYwDMnG+7Mt+Vz+58U9VuWoujDXp/vuHCA1OaqxTrVy51xhQTkiZB2RzUc67vXn87jNWA==" saltValue="BRP3kLjwvp6z0mAbf9SQlw==" spinCount="100000" sqref="O239" name="Rango2_1_1_1_14_2"/>
    <protectedRange algorithmName="SHA-512" hashValue="bcaNaKL49YpMO+XyfbYwDMnG+7Mt+Vz+58U9VuWoujDXp/vuHCA1OaqxTrVy51xhQTkiZB2RzUc67vXn87jNWA==" saltValue="BRP3kLjwvp6z0mAbf9SQlw==" spinCount="100000" sqref="O240" name="Rango2_1_1_1_15_1"/>
    <protectedRange algorithmName="SHA-512" hashValue="bcaNaKL49YpMO+XyfbYwDMnG+7Mt+Vz+58U9VuWoujDXp/vuHCA1OaqxTrVy51xhQTkiZB2RzUc67vXn87jNWA==" saltValue="BRP3kLjwvp6z0mAbf9SQlw==" spinCount="100000" sqref="O288" name="Rango2_1_1_1_16_1"/>
    <protectedRange algorithmName="SHA-512" hashValue="bcaNaKL49YpMO+XyfbYwDMnG+7Mt+Vz+58U9VuWoujDXp/vuHCA1OaqxTrVy51xhQTkiZB2RzUc67vXn87jNWA==" saltValue="BRP3kLjwvp6z0mAbf9SQlw==" spinCount="100000" sqref="O416" name="Rango2_1_1_1_1_1_1"/>
    <protectedRange algorithmName="SHA-512" hashValue="bcaNaKL49YpMO+XyfbYwDMnG+7Mt+Vz+58U9VuWoujDXp/vuHCA1OaqxTrVy51xhQTkiZB2RzUc67vXn87jNWA==" saltValue="BRP3kLjwvp6z0mAbf9SQlw==" spinCount="100000" sqref="O417" name="Rango2_1_1_1_3_1_1"/>
    <protectedRange algorithmName="SHA-512" hashValue="bcaNaKL49YpMO+XyfbYwDMnG+7Mt+Vz+58U9VuWoujDXp/vuHCA1OaqxTrVy51xhQTkiZB2RzUc67vXn87jNWA==" saltValue="BRP3kLjwvp6z0mAbf9SQlw==" spinCount="100000" sqref="O418" name="Rango2_1_1_1_4_1_1"/>
    <protectedRange algorithmName="SHA-512" hashValue="bcaNaKL49YpMO+XyfbYwDMnG+7Mt+Vz+58U9VuWoujDXp/vuHCA1OaqxTrVy51xhQTkiZB2RzUc67vXn87jNWA==" saltValue="BRP3kLjwvp6z0mAbf9SQlw==" spinCount="100000" sqref="O419" name="Rango2_1_1_1_9_1_1"/>
    <protectedRange algorithmName="SHA-512" hashValue="bcaNaKL49YpMO+XyfbYwDMnG+7Mt+Vz+58U9VuWoujDXp/vuHCA1OaqxTrVy51xhQTkiZB2RzUc67vXn87jNWA==" saltValue="BRP3kLjwvp6z0mAbf9SQlw==" spinCount="100000" sqref="O420" name="Rango2_1_1_1_10_1_1"/>
    <protectedRange algorithmName="SHA-512" hashValue="bcaNaKL49YpMO+XyfbYwDMnG+7Mt+Vz+58U9VuWoujDXp/vuHCA1OaqxTrVy51xhQTkiZB2RzUc67vXn87jNWA==" saltValue="BRP3kLjwvp6z0mAbf9SQlw==" spinCount="100000" sqref="O421" name="Rango2_1_1_1_13_1_1"/>
    <protectedRange algorithmName="SHA-512" hashValue="bcaNaKL49YpMO+XyfbYwDMnG+7Mt+Vz+58U9VuWoujDXp/vuHCA1OaqxTrVy51xhQTkiZB2RzUc67vXn87jNWA==" saltValue="BRP3kLjwvp6z0mAbf9SQlw==" spinCount="100000" sqref="O422" name="Rango2_1_1_1_14_1_1"/>
    <protectedRange algorithmName="SHA-512" hashValue="bcaNaKL49YpMO+XyfbYwDMnG+7Mt+Vz+58U9VuWoujDXp/vuHCA1OaqxTrVy51xhQTkiZB2RzUc67vXn87jNWA==" saltValue="BRP3kLjwvp6z0mAbf9SQlw==" spinCount="100000" sqref="O426" name="Rango2_1_1_1_15_1_1"/>
    <protectedRange algorithmName="SHA-512" hashValue="bcaNaKL49YpMO+XyfbYwDMnG+7Mt+Vz+58U9VuWoujDXp/vuHCA1OaqxTrVy51xhQTkiZB2RzUc67vXn87jNWA==" saltValue="BRP3kLjwvp6z0mAbf9SQlw==" spinCount="100000" sqref="O427" name="Rango2_1_1_1_17_1"/>
    <protectedRange algorithmName="SHA-512" hashValue="bcaNaKL49YpMO+XyfbYwDMnG+7Mt+Vz+58U9VuWoujDXp/vuHCA1OaqxTrVy51xhQTkiZB2RzUc67vXn87jNWA==" saltValue="BRP3kLjwvp6z0mAbf9SQlw==" spinCount="100000" sqref="O513" name="Rango2_1_1_1_18"/>
    <protectedRange algorithmName="SHA-512" hashValue="bcaNaKL49YpMO+XyfbYwDMnG+7Mt+Vz+58U9VuWoujDXp/vuHCA1OaqxTrVy51xhQTkiZB2RzUc67vXn87jNWA==" saltValue="BRP3kLjwvp6z0mAbf9SQlw==" spinCount="100000" sqref="O514" name="Rango2_1_1_1_2_5"/>
    <protectedRange algorithmName="SHA-512" hashValue="bcaNaKL49YpMO+XyfbYwDMnG+7Mt+Vz+58U9VuWoujDXp/vuHCA1OaqxTrVy51xhQTkiZB2RzUc67vXn87jNWA==" saltValue="BRP3kLjwvp6z0mAbf9SQlw==" spinCount="100000" sqref="S513" name="Rango2_1_1_1_5_5"/>
    <protectedRange algorithmName="SHA-512" hashValue="bcaNaKL49YpMO+XyfbYwDMnG+7Mt+Vz+58U9VuWoujDXp/vuHCA1OaqxTrVy51xhQTkiZB2RzUc67vXn87jNWA==" saltValue="BRP3kLjwvp6z0mAbf9SQlw==" spinCount="100000" sqref="O515" name="Rango2_1_1_1_9_5"/>
    <protectedRange algorithmName="SHA-512" hashValue="bcaNaKL49YpMO+XyfbYwDMnG+7Mt+Vz+58U9VuWoujDXp/vuHCA1OaqxTrVy51xhQTkiZB2RzUc67vXn87jNWA==" saltValue="BRP3kLjwvp6z0mAbf9SQlw==" spinCount="100000" sqref="O516" name="Rango2_1_1_1_10_4"/>
    <protectedRange algorithmName="SHA-512" hashValue="bcaNaKL49YpMO+XyfbYwDMnG+7Mt+Vz+58U9VuWoujDXp/vuHCA1OaqxTrVy51xhQTkiZB2RzUc67vXn87jNWA==" saltValue="BRP3kLjwvp6z0mAbf9SQlw==" spinCount="100000" sqref="O517" name="Rango2_1_1_1_12_4"/>
    <protectedRange algorithmName="SHA-512" hashValue="bcaNaKL49YpMO+XyfbYwDMnG+7Mt+Vz+58U9VuWoujDXp/vuHCA1OaqxTrVy51xhQTkiZB2RzUc67vXn87jNWA==" saltValue="BRP3kLjwvp6z0mAbf9SQlw==" spinCount="100000" sqref="O518" name="Rango2_1_1_1_13_4"/>
    <protectedRange algorithmName="SHA-512" hashValue="bcaNaKL49YpMO+XyfbYwDMnG+7Mt+Vz+58U9VuWoujDXp/vuHCA1OaqxTrVy51xhQTkiZB2RzUc67vXn87jNWA==" saltValue="BRP3kLjwvp6z0mAbf9SQlw==" spinCount="100000" sqref="O519" name="Rango2_1_1_1_14_4"/>
    <protectedRange algorithmName="SHA-512" hashValue="bcaNaKL49YpMO+XyfbYwDMnG+7Mt+Vz+58U9VuWoujDXp/vuHCA1OaqxTrVy51xhQTkiZB2RzUc67vXn87jNWA==" saltValue="BRP3kLjwvp6z0mAbf9SQlw==" spinCount="100000" sqref="O520" name="Rango2_1_1_1_15_3"/>
    <protectedRange algorithmName="SHA-512" hashValue="bcaNaKL49YpMO+XyfbYwDMnG+7Mt+Vz+58U9VuWoujDXp/vuHCA1OaqxTrVy51xhQTkiZB2RzUc67vXn87jNWA==" saltValue="BRP3kLjwvp6z0mAbf9SQlw==" spinCount="100000" sqref="O521" name="Rango2_1_1_1_16_3"/>
    <protectedRange algorithmName="SHA-512" hashValue="bcaNaKL49YpMO+XyfbYwDMnG+7Mt+Vz+58U9VuWoujDXp/vuHCA1OaqxTrVy51xhQTkiZB2RzUc67vXn87jNWA==" saltValue="BRP3kLjwvp6z0mAbf9SQlw==" spinCount="100000" sqref="S568 O568 W568" name="Rango2_1_1_1_30_1"/>
  </protectedRanges>
  <conditionalFormatting sqref="D2:D3">
    <cfRule type="duplicateValues" dxfId="2" priority="3"/>
  </conditionalFormatting>
  <conditionalFormatting sqref="D4">
    <cfRule type="duplicateValues" dxfId="1" priority="2"/>
  </conditionalFormatting>
  <conditionalFormatting sqref="D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" sqref="C3:C240"/>
    </sheetView>
  </sheetViews>
  <sheetFormatPr baseColWidth="10" defaultColWidth="9.140625" defaultRowHeight="15" x14ac:dyDescent="0.25"/>
  <cols>
    <col min="3" max="3" width="9.14062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FLIA ALMANZA RINCON</dc:creator>
  <cp:keywords/>
  <dc:description/>
  <cp:lastModifiedBy>ASUS</cp:lastModifiedBy>
  <dcterms:created xsi:type="dcterms:W3CDTF">2021-12-15T20:22:26Z</dcterms:created>
  <dcterms:modified xsi:type="dcterms:W3CDTF">2024-06-13T15:56:45Z</dcterms:modified>
  <cp:category/>
</cp:coreProperties>
</file>