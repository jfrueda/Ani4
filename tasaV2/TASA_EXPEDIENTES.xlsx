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<sst xmlns="http://schemas.openxmlformats.org/spreadsheetml/2006/main" uniqueCount="38">
  <si>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-202292005190100001E-202292005190100001E</t>
  </si>
  <si>
    <t>CONSOLIDADO DE EXPEDIENTE DE CONTRIBUCIÓN SIN OBLIGACIÓN GENERADO</t>
  </si>
  <si>
    <t>-202292005190100002E-202292005190100002E</t>
  </si>
  <si>
    <t>DATOS DEL VIGILADO SOLICITANTE</t>
  </si>
  <si>
    <t>DATOS DEL EXPEDIENTE</t>
  </si>
  <si>
    <t>EXPEDIENTE</t>
  </si>
  <si>
    <t>ERROR</t>
  </si>
  <si>
    <t>#</t>
  </si>
  <si>
    <t>NIT</t>
  </si>
  <si>
    <t>DEUDOR</t>
  </si>
  <si>
    <t>TIPO VIGILADO</t>
  </si>
  <si>
    <t xml:space="preserve">VIGENCIA DE LA OBLIGACION </t>
  </si>
  <si>
    <t xml:space="preserve">DEPENDENCIA </t>
  </si>
  <si>
    <t>SERIE</t>
  </si>
  <si>
    <t>SUBSERIE</t>
  </si>
  <si>
    <t xml:space="preserve">SEGURIDAD INICIAL </t>
  </si>
  <si>
    <t>NOMBRE EXP</t>
  </si>
  <si>
    <t>CC O NIT</t>
  </si>
  <si>
    <t>ID EXPEDIENTE</t>
  </si>
  <si>
    <t>DESCRIPTOR</t>
  </si>
  <si>
    <t xml:space="preserve">Responsable </t>
  </si>
  <si>
    <t xml:space="preserve">Usuario creador </t>
  </si>
  <si>
    <t>202292005190100001E</t>
  </si>
  <si>
    <t>INVERSIONES SUPER BALLY LTDA</t>
  </si>
  <si>
    <t>GJL</t>
  </si>
  <si>
    <t>92005-GRUPO DE CONTRIBUCION Y APOYO TECNICO</t>
  </si>
  <si>
    <t>DERECHOS DE PETICIÓN-19</t>
  </si>
  <si>
    <t>DERECHOS DE PETICIÓN-1</t>
  </si>
  <si>
    <t>PRIVADO DEPENDENCIA (SOLO USUARIOS ÁREAS Y USUARIOS  JEFES)</t>
  </si>
  <si>
    <t xml:space="preserve">92005-Lucy Claudeth Torres Romero </t>
  </si>
  <si>
    <t>202292005190100002E</t>
  </si>
  <si>
    <t>HISTORY GLOBAL PLAY S A S</t>
  </si>
  <si>
    <t>202292005190100003E</t>
  </si>
  <si>
    <t>SALUD COLPATRIA S.A ENTIDAD PROMOTORA DE SALUD EN LIQUIDACION</t>
  </si>
  <si>
    <t>EPS-RC</t>
  </si>
  <si>
    <t>202292005190100004E</t>
  </si>
  <si>
    <t>JOSE LUIS YGLESIAS SANCHEZ</t>
  </si>
  <si>
    <t>IPS</t>
  </si>
</sst>
</file>

<file path=xl/styles.xml><?xml version="1.0" encoding="utf-8"?>
<styleSheet xmlns="http://schemas.openxmlformats.org/spreadsheetml/2006/main" xml:space="preserve">
  <numFmts count="1">
    <numFmt numFmtId="164" formatCode="&quot;$&quot;\ #,##0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00"/>
      <name val="Gadugi"/>
    </font>
    <font>
      <b val="0"/>
      <i val="0"/>
      <strike val="0"/>
      <u val="none"/>
      <sz val="8"/>
      <color rgb="FF000000"/>
      <name val="Gadugi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9E2F3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F2CB"/>
        <bgColor rgb="FFFFFFFF"/>
      </patternFill>
    </fill>
    <fill>
      <patternFill patternType="solid">
        <fgColor rgb="FFECECEC"/>
        <bgColor rgb="FFFFFFFF"/>
      </patternFill>
    </fill>
    <fill>
      <patternFill patternType="solid">
        <fgColor rgb="FFDBDBDB"/>
        <bgColor rgb="FF000000"/>
      </patternFill>
    </fill>
    <fill>
      <patternFill patternType="solid">
        <fgColor rgb="FFB4C6E7"/>
        <bgColor rgb="FFFFFFFF"/>
      </patternFill>
    </fill>
    <fill>
      <patternFill patternType="solid">
        <fgColor rgb="FFC5DEB5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164" fillId="0" borderId="1" applyFont="1" applyNumberFormat="1" applyFill="0" applyBorder="1" applyAlignment="1">
      <alignment horizontal="left" vertical="center" textRotation="0" wrapText="true" shrinkToFit="false"/>
    </xf>
    <xf xfId="0" fontId="2" numFmtId="164" fillId="0" borderId="1" applyFont="1" applyNumberFormat="1" applyFill="0" applyBorder="1" applyAlignment="1">
      <alignment horizontal="left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0" fillId="6" borderId="2" applyFont="1" applyNumberFormat="0" applyFill="1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49" fillId="0" borderId="1" applyFont="1" applyNumberFormat="1" applyFill="0" applyBorder="1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center" textRotation="0" wrapText="fals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4" numFmtId="0" fillId="7" borderId="1" applyFont="1" applyNumberFormat="0" applyFill="1" applyBorder="1" applyAlignment="1">
      <alignment horizontal="center" vertical="center" textRotation="0" wrapText="false" shrinkToFit="false"/>
    </xf>
    <xf xfId="0" fontId="4" numFmtId="0" fillId="8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8"/>
  <sheetViews>
    <sheetView tabSelected="1" workbookViewId="0" showGridLines="true" showRowColHeaders="1">
      <pane ySplit="1" topLeftCell="A2" activePane="bottomLeft" state="frozen"/>
      <selection pane="bottomLeft" activeCell="A5" sqref="A5:A8"/>
    </sheetView>
  </sheetViews>
  <sheetFormatPr defaultRowHeight="14.4" defaultColWidth="11.42578125" outlineLevelRow="0" outlineLevelCol="0"/>
  <cols>
    <col min="1" max="1" width="37.5703125" customWidth="true" style="6"/>
    <col min="2" max="2" width="9.28515625" customWidth="true" style="6"/>
    <col min="3" max="3" width="4.42578125" customWidth="true" style="3"/>
    <col min="4" max="4" width="12" customWidth="true" style="3"/>
    <col min="5" max="5" width="57.7109375" customWidth="true" style="3"/>
    <col min="6" max="6" width="15.5703125" customWidth="true" style="3"/>
    <col min="7" max="7" width="10.85546875" customWidth="true" style="3"/>
    <col min="8" max="8" width="39.140625" customWidth="true" style="3"/>
    <col min="9" max="9" width="20.85546875" customWidth="true" style="3"/>
    <col min="10" max="10" width="19.85546875" customWidth="true" style="3"/>
    <col min="11" max="11" width="51.28515625" customWidth="true" style="3"/>
    <col min="12" max="12" width="103.42578125" customWidth="true" style="3"/>
    <col min="13" max="13" width="10.7109375" customWidth="true" style="3"/>
    <col min="14" max="14" width="19.42578125" customWidth="true" style="3"/>
    <col min="15" max="15" width="87.28515625" customWidth="true" style="3"/>
    <col min="16" max="16" width="38.5703125" customWidth="true" style="3"/>
    <col min="17" max="17" width="33.140625" customWidth="true" style="3"/>
    <col min="18" max="18" width="34.140625" customWidth="true" style="3"/>
    <col min="19" max="19" width="11.42578125" style="3"/>
  </cols>
  <sheetData>
    <row r="1" spans="1:19" hidden="true"/>
    <row r="2" spans="1:19" hidden="true">
      <c r="A2" s="6" t="s">
        <v>0</v>
      </c>
      <c r="C2" s="23" t="s">
        <v>1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9" customHeight="1" ht="11.25" hidden="true" s="4" customFormat="1">
      <c r="A3" s="19" t="s">
        <v>2</v>
      </c>
      <c r="B3" s="19"/>
      <c r="C3" s="21" t="s">
        <v>3</v>
      </c>
      <c r="D3" s="21"/>
      <c r="E3" s="21"/>
      <c r="F3" s="21"/>
      <c r="G3" s="21"/>
      <c r="H3" s="21"/>
      <c r="I3" s="21"/>
      <c r="J3" s="21"/>
      <c r="K3" s="21"/>
      <c r="L3" s="22" t="s">
        <v>4</v>
      </c>
      <c r="M3" s="22"/>
      <c r="N3" s="22"/>
      <c r="O3" s="22"/>
      <c r="P3" s="22"/>
      <c r="Q3" s="22"/>
    </row>
    <row r="4" spans="1:19" customHeight="1" ht="36" s="1" customFormat="1">
      <c r="A4" s="20" t="s">
        <v>5</v>
      </c>
      <c r="B4" s="20" t="s">
        <v>6</v>
      </c>
      <c r="C4" s="10" t="s">
        <v>7</v>
      </c>
      <c r="D4" s="11" t="s">
        <v>8</v>
      </c>
      <c r="E4" s="14" t="s">
        <v>9</v>
      </c>
      <c r="F4" s="14" t="s">
        <v>10</v>
      </c>
      <c r="G4" s="14" t="s">
        <v>11</v>
      </c>
      <c r="H4" s="12" t="s">
        <v>12</v>
      </c>
      <c r="I4" s="12" t="s">
        <v>13</v>
      </c>
      <c r="J4" s="12" t="s">
        <v>14</v>
      </c>
      <c r="K4" s="12" t="s">
        <v>15</v>
      </c>
      <c r="L4" s="13" t="s">
        <v>16</v>
      </c>
      <c r="M4" s="13" t="s">
        <v>17</v>
      </c>
      <c r="N4" s="13" t="s">
        <v>18</v>
      </c>
      <c r="O4" s="13" t="s">
        <v>19</v>
      </c>
      <c r="P4" s="16" t="s">
        <v>20</v>
      </c>
      <c r="Q4" s="16" t="s">
        <v>21</v>
      </c>
    </row>
    <row r="5" spans="1:19" customHeight="1" ht="28.5">
      <c r="A5" s="18" t="s">
        <v>22</v>
      </c>
      <c r="B5" s="18"/>
      <c r="C5" s="7">
        <v>1</v>
      </c>
      <c r="D5" s="15">
        <v>830136763</v>
      </c>
      <c r="E5" s="2" t="s">
        <v>23</v>
      </c>
      <c r="F5" s="7" t="s">
        <v>24</v>
      </c>
      <c r="G5" s="15">
        <v>2020</v>
      </c>
      <c r="H5" s="5" t="s">
        <v>25</v>
      </c>
      <c r="I5" s="5" t="s">
        <v>26</v>
      </c>
      <c r="J5" s="5" t="s">
        <v>27</v>
      </c>
      <c r="K5" s="5" t="s">
        <v>28</v>
      </c>
      <c r="L5" s="8" t="str">
        <f>+CONCATENATE("CONTRIBUCION_",G5,"_",F5,"_",D5,"_",E5)</f>
        <v>CONTRIBUCION_2020_GJL_830136763_INVERSIONES SUPER BALLY LTDA</v>
      </c>
      <c r="M5" s="5">
        <f>+D5</f>
        <v>830136763</v>
      </c>
      <c r="N5" s="5" t="str">
        <f>+CONCATENATE(G5,"_",F5,"_",D5)</f>
        <v>2020_GJL_830136763</v>
      </c>
      <c r="O5" s="9" t="str">
        <f>+L5</f>
        <v>CONTRIBUCION_2020_GJL_830136763_INVERSIONES SUPER BALLY LTDA</v>
      </c>
      <c r="P5" s="17" t="s">
        <v>29</v>
      </c>
      <c r="Q5" s="17" t="s">
        <v>29</v>
      </c>
    </row>
    <row r="6" spans="1:19" customHeight="1" ht="24">
      <c r="A6" s="18" t="s">
        <v>30</v>
      </c>
      <c r="B6" s="18"/>
      <c r="C6" s="7">
        <f>C5+1</f>
        <v>2</v>
      </c>
      <c r="D6" s="15">
        <v>900635735</v>
      </c>
      <c r="E6" s="2" t="s">
        <v>31</v>
      </c>
      <c r="F6" s="7" t="s">
        <v>24</v>
      </c>
      <c r="G6" s="15">
        <v>2020</v>
      </c>
      <c r="H6" s="5" t="s">
        <v>25</v>
      </c>
      <c r="I6" s="5" t="s">
        <v>26</v>
      </c>
      <c r="J6" s="5" t="s">
        <v>27</v>
      </c>
      <c r="K6" s="5" t="s">
        <v>28</v>
      </c>
      <c r="L6" s="8" t="str">
        <f>+CONCATENATE("CONTRIBUCION_",G6,"_",F6,"_",D6,"_",E6)</f>
        <v>CONTRIBUCION_2020_GJL_900635735_HISTORY GLOBAL PLAY S A S</v>
      </c>
      <c r="M6" s="5">
        <f>+D6</f>
        <v>900635735</v>
      </c>
      <c r="N6" s="5" t="str">
        <f>+CONCATENATE(G6,"_",F6,"_",D6)</f>
        <v>2020_GJL_900635735</v>
      </c>
      <c r="O6" s="9" t="str">
        <f>+L6</f>
        <v>CONTRIBUCION_2020_GJL_900635735_HISTORY GLOBAL PLAY S A S</v>
      </c>
      <c r="P6" s="17" t="s">
        <v>29</v>
      </c>
      <c r="Q6" s="17" t="s">
        <v>29</v>
      </c>
    </row>
    <row r="7" spans="1:19" customHeight="1" ht="23.25">
      <c r="A7" s="18" t="s">
        <v>32</v>
      </c>
      <c r="B7" s="18"/>
      <c r="C7" s="7">
        <f>C6+1</f>
        <v>3</v>
      </c>
      <c r="D7" s="15">
        <v>860512237</v>
      </c>
      <c r="E7" s="2" t="s">
        <v>33</v>
      </c>
      <c r="F7" s="7" t="s">
        <v>34</v>
      </c>
      <c r="G7" s="15">
        <v>2020</v>
      </c>
      <c r="H7" s="5" t="s">
        <v>25</v>
      </c>
      <c r="I7" s="5" t="s">
        <v>26</v>
      </c>
      <c r="J7" s="5" t="s">
        <v>27</v>
      </c>
      <c r="K7" s="5" t="s">
        <v>28</v>
      </c>
      <c r="L7" s="8" t="str">
        <f>+CONCATENATE("CONTRIBUCION_",G7,"_",F7,"_",D7,"_",E7)</f>
        <v>CONTRIBUCION_2020_EPS-RC_860512237_SALUD COLPATRIA S.A ENTIDAD PROMOTORA DE SALUD EN LIQUIDACION</v>
      </c>
      <c r="M7" s="5">
        <f>+D7</f>
        <v>860512237</v>
      </c>
      <c r="N7" s="5" t="str">
        <f>+CONCATENATE(G7,"_",F7,"_",D7)</f>
        <v>2020_EPS-RC_860512237</v>
      </c>
      <c r="O7" s="9" t="str">
        <f>+L7</f>
        <v>CONTRIBUCION_2020_EPS-RC_860512237_SALUD COLPATRIA S.A ENTIDAD PROMOTORA DE SALUD EN LIQUIDACION</v>
      </c>
      <c r="P7" s="17" t="s">
        <v>29</v>
      </c>
      <c r="Q7" s="17" t="s">
        <v>29</v>
      </c>
    </row>
    <row r="8" spans="1:19" customHeight="1" ht="24">
      <c r="A8" s="18" t="s">
        <v>35</v>
      </c>
      <c r="B8" s="18"/>
      <c r="C8" s="7">
        <f>C7+1</f>
        <v>4</v>
      </c>
      <c r="D8" s="15">
        <v>700078507</v>
      </c>
      <c r="E8" s="2" t="s">
        <v>36</v>
      </c>
      <c r="F8" s="7" t="s">
        <v>37</v>
      </c>
      <c r="G8" s="15">
        <v>2020</v>
      </c>
      <c r="H8" s="5" t="s">
        <v>25</v>
      </c>
      <c r="I8" s="5" t="s">
        <v>26</v>
      </c>
      <c r="J8" s="5" t="s">
        <v>27</v>
      </c>
      <c r="K8" s="5" t="s">
        <v>28</v>
      </c>
      <c r="L8" s="8" t="str">
        <f>+CONCATENATE("CONTRIBUCION_",G8,"_",F8,"_",D8,"_",E8)</f>
        <v>CONTRIBUCION_2020_IPS_700078507_JOSE LUIS YGLESIAS SANCHEZ</v>
      </c>
      <c r="M8" s="5">
        <f>+D8</f>
        <v>700078507</v>
      </c>
      <c r="N8" s="5" t="str">
        <f>+CONCATENATE(G8,"_",F8,"_",D8)</f>
        <v>2020_IPS_700078507</v>
      </c>
      <c r="O8" s="9" t="str">
        <f>+L8</f>
        <v>CONTRIBUCION_2020_IPS_700078507_JOSE LUIS YGLESIAS SANCHEZ</v>
      </c>
      <c r="P8" s="17" t="s">
        <v>29</v>
      </c>
      <c r="Q8" s="17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3:K3"/>
    <mergeCell ref="L3:Q3"/>
    <mergeCell ref="C2:Q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Rocio Rincon Almansa</dc:creator>
  <cp:lastModifiedBy>ASUS</cp:lastModifiedBy>
  <dcterms:created xsi:type="dcterms:W3CDTF">2022-02-16T09:03:46-05:00</dcterms:created>
  <dcterms:modified xsi:type="dcterms:W3CDTF">2022-06-06T17:39:49-05:00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0x0101002B3FCC4537805F43AD462F5E012B81E3</vt:lpwstr>
  </property>
</Properties>
</file>